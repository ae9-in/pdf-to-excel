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Allocation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ield Guide" sheetId="3" state="visible" r:id="rId3"/>
  </sheets>
  <definedNames>
    <definedName name="_xlnm._FilterDatabase" localSheetId="0" hidden="1">'Task Allocation'!$A$4:$K$4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A5B4FC"/>
      <sz val="9"/>
    </font>
    <font>
      <name val="Calibri"/>
      <b val="1"/>
      <color rgb="00A5B4FC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374151"/>
      <sz val="9"/>
    </font>
    <font>
      <name val="Calibri"/>
      <b val="1"/>
      <color rgb="00818CF8"/>
      <sz val="9"/>
    </font>
    <font>
      <name val="Calibri"/>
      <b val="1"/>
      <color rgb="00EF4444"/>
      <sz val="9"/>
    </font>
    <font>
      <name val="Calibri"/>
      <b val="1"/>
      <color rgb="00F59E0B"/>
      <sz val="9"/>
    </font>
    <font>
      <name val="Calibri"/>
      <b val="1"/>
      <color rgb="00A78BFA"/>
      <sz val="9"/>
    </font>
    <font>
      <name val="Calibri"/>
      <b val="1"/>
      <color rgb="0034D399"/>
      <sz val="9"/>
    </font>
    <font>
      <name val="Calibri"/>
      <b val="1"/>
      <color rgb="0010B981"/>
      <sz val="9"/>
    </font>
    <font>
      <name val="Calibri"/>
      <b val="1"/>
      <color rgb="00FB923C"/>
      <sz val="9"/>
    </font>
    <font>
      <name val="Calibri"/>
      <b val="1"/>
      <color rgb="00F472B6"/>
      <sz val="9"/>
    </font>
    <font>
      <name val="Calibri"/>
      <b val="1"/>
      <color rgb="00FBBF24"/>
      <sz val="9"/>
    </font>
    <font>
      <name val="Calibri"/>
      <b val="1"/>
      <color rgb="0060A5FA"/>
      <sz val="9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24"/>
    </font>
    <font>
      <name val="Calibri"/>
      <b val="1"/>
      <color rgb="001E1E2E"/>
      <sz val="12"/>
    </font>
    <font>
      <name val="Calibri"/>
      <b val="1"/>
      <color rgb="00374151"/>
      <sz val="9"/>
    </font>
    <font>
      <name val="Calibri"/>
      <b val="1"/>
      <color rgb="006EE7B7"/>
      <sz val="9"/>
    </font>
    <font>
      <name val="Calibri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D2B55"/>
      </patternFill>
    </fill>
    <fill>
      <patternFill patternType="solid">
        <fgColor rgb="004F46E5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6B7280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9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top"/>
    </xf>
    <xf numFmtId="0" fontId="18" fillId="7" borderId="0" applyAlignment="1" pivotButton="0" quotePrefix="0" xfId="0">
      <alignment horizontal="center" vertical="top"/>
    </xf>
    <xf numFmtId="0" fontId="18" fillId="8" borderId="0" applyAlignment="1" pivotButton="0" quotePrefix="0" xfId="0">
      <alignment horizontal="center" vertical="top"/>
    </xf>
    <xf numFmtId="0" fontId="19" fillId="4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top"/>
    </xf>
    <xf numFmtId="0" fontId="18" fillId="10" borderId="0" applyAlignment="1" pivotButton="0" quotePrefix="0" xfId="0">
      <alignment horizontal="center" vertical="top"/>
    </xf>
    <xf numFmtId="0" fontId="18" fillId="11" borderId="0" applyAlignment="1" pivotButton="0" quotePrefix="0" xfId="0">
      <alignment horizontal="center" vertical="top"/>
    </xf>
    <xf numFmtId="0" fontId="19" fillId="9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0" fillId="0" borderId="0" pivotButton="0" quotePrefix="0" xfId="0"/>
    <xf numFmtId="0" fontId="21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Calibri"/>
        <b val="1"/>
        <color rgb="00EF4444"/>
        <sz val="9"/>
      </font>
      <fill>
        <patternFill patternType="solid">
          <fgColor rgb="00FEE2E2"/>
        </patternFill>
      </fill>
    </dxf>
    <dxf>
      <font>
        <name val="Calibri"/>
        <b val="1"/>
        <color rgb="00F59E0B"/>
        <sz val="9"/>
      </font>
      <fill>
        <patternFill patternType="solid">
          <fgColor rgb="00FEF3C7"/>
        </patternFill>
      </fill>
    </dxf>
    <dxf>
      <font>
        <name val="Calibri"/>
        <b val="1"/>
        <color rgb="0010B981"/>
        <sz val="9"/>
      </font>
      <fill>
        <patternFill patternType="solid">
          <fgColor rgb="00D1FAE5"/>
        </patternFill>
      </fill>
    </dxf>
    <dxf>
      <font>
        <name val="Calibri"/>
        <i val="1"/>
        <color rgb="009CA3AF"/>
        <sz val="9"/>
      </font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8" customWidth="1" min="4" max="4"/>
    <col width="11" customWidth="1" min="5" max="5"/>
    <col width="9" customWidth="1" min="6" max="6"/>
    <col width="14" customWidth="1" min="7" max="7"/>
    <col width="52" customWidth="1" min="8" max="8"/>
    <col width="28" customWidth="1" min="9" max="9"/>
    <col width="14" customWidth="1" min="10" max="10"/>
    <col width="13" customWidth="1" min="11" max="11"/>
  </cols>
  <sheetData>
    <row r="1" ht="34" customHeight="1">
      <c r="A1" s="1" t="inlineStr">
        <is>
          <t>TASK ALLOCATION REPORT  —  AKSHARA ENTERPRISES</t>
        </is>
      </c>
    </row>
    <row r="2" ht="18" customHeight="1">
      <c r="A2" s="2" t="inlineStr">
        <is>
          <t>Sprint 1-5  |  29 May 2026  |  Converted via EarlyBird PDF-to-Excel Engine</t>
        </is>
      </c>
    </row>
    <row r="3" ht="20" customHeight="1">
      <c r="A3" s="3" t="inlineStr">
        <is>
          <t>Total Tasks:</t>
        </is>
      </c>
      <c r="B3" s="4">
        <f>COUNTA(B5:B34)</f>
        <v/>
      </c>
      <c r="D3" s="3" t="inlineStr">
        <is>
          <t>High Priority:</t>
        </is>
      </c>
      <c r="E3" s="4">
        <f>COUNTIF(E5:E34,"High")</f>
        <v/>
      </c>
      <c r="G3" s="3" t="inlineStr">
        <is>
          <t>On Leave:</t>
        </is>
      </c>
      <c r="H3" s="4">
        <f>COUNTIF(J5:J34,"Leave")</f>
        <v/>
      </c>
      <c r="J3" s="3" t="inlineStr">
        <is>
          <t>Completed:</t>
        </is>
      </c>
      <c r="K3" s="4">
        <f>COUNTIF(J5:J34,"Completed")</f>
        <v/>
      </c>
    </row>
    <row r="4" ht="22" customHeight="1">
      <c r="A4" s="5" t="inlineStr">
        <is>
          <t>#</t>
        </is>
      </c>
      <c r="B4" s="5" t="inlineStr">
        <is>
          <t>Name</t>
        </is>
      </c>
      <c r="C4" s="5" t="inlineStr">
        <is>
          <t>Team</t>
        </is>
      </c>
      <c r="D4" s="5" t="inlineStr">
        <is>
          <t>Task Title</t>
        </is>
      </c>
      <c r="E4" s="5" t="inlineStr">
        <is>
          <t>Priority</t>
        </is>
      </c>
      <c r="F4" s="5" t="inlineStr">
        <is>
          <t>SP</t>
        </is>
      </c>
      <c r="G4" s="5" t="inlineStr">
        <is>
          <t>Due Date</t>
        </is>
      </c>
      <c r="H4" s="5" t="inlineStr">
        <is>
          <t>Description</t>
        </is>
      </c>
      <c r="I4" s="5" t="inlineStr">
        <is>
          <t>Email</t>
        </is>
      </c>
      <c r="J4" s="5" t="inlineStr">
        <is>
          <t>Status</t>
        </is>
      </c>
      <c r="K4" s="5" t="inlineStr">
        <is>
          <t>Done %</t>
        </is>
      </c>
    </row>
    <row r="5" ht="26" customHeight="1">
      <c r="A5" s="6" t="n">
        <v>1</v>
      </c>
      <c r="B5" s="7" t="inlineStr">
        <is>
          <t>Madhumati Angadi</t>
        </is>
      </c>
      <c r="C5" s="8" t="inlineStr">
        <is>
          <t>HR</t>
        </is>
      </c>
      <c r="D5" s="7" t="inlineStr">
        <is>
          <t>Interview Scheduling</t>
        </is>
      </c>
      <c r="E5" s="9" t="inlineStr">
        <is>
          <t>High</t>
        </is>
      </c>
      <c r="F5" s="6" t="n">
        <v>5</v>
      </c>
      <c r="G5" s="6" t="inlineStr">
        <is>
          <t>29-May-26</t>
        </is>
      </c>
      <c r="H5" s="10" t="inlineStr">
        <is>
          <t>Interview scheduling, offer letters, ATS, college list</t>
        </is>
      </c>
      <c r="I5" s="7" t="inlineStr">
        <is>
          <t>madhumati3006@gmail.com</t>
        </is>
      </c>
      <c r="J5" s="7" t="inlineStr">
        <is>
          <t>In Progress</t>
        </is>
      </c>
      <c r="K5" s="11" t="n">
        <v>0.6</v>
      </c>
    </row>
    <row r="6" ht="26" customHeight="1">
      <c r="A6" s="12" t="n">
        <v>2</v>
      </c>
      <c r="B6" s="13" t="inlineStr">
        <is>
          <t>Sanchi</t>
        </is>
      </c>
      <c r="C6" s="14" t="inlineStr">
        <is>
          <t>HR</t>
        </is>
      </c>
      <c r="D6" s="13" t="inlineStr">
        <is>
          <t>Internal + Interviews</t>
        </is>
      </c>
      <c r="E6" s="15" t="inlineStr">
        <is>
          <t>High</t>
        </is>
      </c>
      <c r="F6" s="12" t="n">
        <v>5</v>
      </c>
      <c r="G6" s="12" t="inlineStr">
        <is>
          <t>29-May-26</t>
        </is>
      </c>
      <c r="H6" s="16" t="inlineStr">
        <is>
          <t>Candidate reports, Naukri calls, Hemanth daily tracking</t>
        </is>
      </c>
      <c r="I6" s="13" t="inlineStr">
        <is>
          <t>petkarsanchi@gmail.com</t>
        </is>
      </c>
      <c r="J6" s="13" t="inlineStr">
        <is>
          <t>In Progress</t>
        </is>
      </c>
      <c r="K6" s="17" t="n">
        <v>0.4</v>
      </c>
    </row>
    <row r="7" ht="26" customHeight="1">
      <c r="A7" s="6" t="n">
        <v>3</v>
      </c>
      <c r="B7" s="7" t="inlineStr">
        <is>
          <t>Shruthi</t>
        </is>
      </c>
      <c r="C7" s="8" t="inlineStr">
        <is>
          <t>HR</t>
        </is>
      </c>
      <c r="D7" s="7" t="inlineStr">
        <is>
          <t>Drive Follow-up</t>
        </is>
      </c>
      <c r="E7" s="18" t="inlineStr">
        <is>
          <t>Medium</t>
        </is>
      </c>
      <c r="F7" s="6" t="n">
        <v>3</v>
      </c>
      <c r="G7" s="6" t="inlineStr">
        <is>
          <t>29-May-26</t>
        </is>
      </c>
      <c r="H7" s="10" t="inlineStr">
        <is>
          <t>Unanswered callbacks, Kerala hiring, ATS update</t>
        </is>
      </c>
      <c r="I7" s="7" t="inlineStr">
        <is>
          <t>shruthi.2003v@gmail.com</t>
        </is>
      </c>
      <c r="J7" s="7" t="inlineStr">
        <is>
          <t>Not Started</t>
        </is>
      </c>
      <c r="K7" s="11" t="n">
        <v>0</v>
      </c>
    </row>
    <row r="8" ht="26" customHeight="1">
      <c r="A8" s="12" t="n">
        <v>4</v>
      </c>
      <c r="B8" s="13" t="inlineStr">
        <is>
          <t>Godavari DK</t>
        </is>
      </c>
      <c r="C8" s="14" t="inlineStr">
        <is>
          <t>HR</t>
        </is>
      </c>
      <c r="D8" s="13" t="inlineStr">
        <is>
          <t>Drive Scheduling</t>
        </is>
      </c>
      <c r="E8" s="15" t="inlineStr">
        <is>
          <t>High</t>
        </is>
      </c>
      <c r="F8" s="12" t="n">
        <v>5</v>
      </c>
      <c r="G8" s="12" t="inlineStr">
        <is>
          <t>29-May-26</t>
        </is>
      </c>
      <c r="H8" s="16" t="inlineStr">
        <is>
          <t>8 college drive dates, ATS update, candidate scheduling</t>
        </is>
      </c>
      <c r="I8" s="13" t="inlineStr">
        <is>
          <t>godavari.dk@aksharaenterprises.info</t>
        </is>
      </c>
      <c r="J8" s="13" t="inlineStr">
        <is>
          <t>In Progress</t>
        </is>
      </c>
      <c r="K8" s="17" t="n">
        <v>0.5</v>
      </c>
    </row>
    <row r="9" ht="26" customHeight="1">
      <c r="A9" s="6" t="n">
        <v>5</v>
      </c>
      <c r="B9" s="7" t="inlineStr">
        <is>
          <t>Chandana</t>
        </is>
      </c>
      <c r="C9" s="8" t="inlineStr">
        <is>
          <t>HR</t>
        </is>
      </c>
      <c r="D9" s="7" t="inlineStr">
        <is>
          <t>Talenty Calls</t>
        </is>
      </c>
      <c r="E9" s="18" t="inlineStr">
        <is>
          <t>Medium</t>
        </is>
      </c>
      <c r="F9" s="6" t="n">
        <v>3</v>
      </c>
      <c r="G9" s="6" t="inlineStr">
        <is>
          <t>29-May-26</t>
        </is>
      </c>
      <c r="H9" s="10" t="inlineStr">
        <is>
          <t>45 answered calls target — Talenty platform</t>
        </is>
      </c>
      <c r="I9" s="7" t="inlineStr">
        <is>
          <t>bheemasrichandana@gmail.com</t>
        </is>
      </c>
      <c r="J9" s="7" t="inlineStr">
        <is>
          <t>In Progress</t>
        </is>
      </c>
      <c r="K9" s="11" t="n">
        <v>0.3</v>
      </c>
    </row>
    <row r="10" ht="26" customHeight="1">
      <c r="A10" s="12" t="n">
        <v>6</v>
      </c>
      <c r="B10" s="13" t="inlineStr">
        <is>
          <t>Rahul Hemanth</t>
        </is>
      </c>
      <c r="C10" s="14" t="inlineStr">
        <is>
          <t>HR</t>
        </is>
      </c>
      <c r="D10" s="13" t="inlineStr">
        <is>
          <t>Competitions</t>
        </is>
      </c>
      <c r="E10" s="15" t="inlineStr">
        <is>
          <t>High</t>
        </is>
      </c>
      <c r="F10" s="12" t="n">
        <v>8</v>
      </c>
      <c r="G10" s="12" t="inlineStr">
        <is>
          <t>29-May-26</t>
        </is>
      </c>
      <c r="H10" s="16" t="inlineStr">
        <is>
          <t>Competition structure, validations, 3 school pitches</t>
        </is>
      </c>
      <c r="I10" s="13" t="inlineStr">
        <is>
          <t>18rahul.hemanth@gmail.com</t>
        </is>
      </c>
      <c r="J10" s="13" t="inlineStr">
        <is>
          <t>In Progress</t>
        </is>
      </c>
      <c r="K10" s="17" t="n">
        <v>0.25</v>
      </c>
    </row>
    <row r="11" ht="26" customHeight="1">
      <c r="A11" s="6" t="n">
        <v>7</v>
      </c>
      <c r="B11" s="7" t="inlineStr">
        <is>
          <t>Jagriti Sarda</t>
        </is>
      </c>
      <c r="C11" s="19" t="inlineStr">
        <is>
          <t>NEW JOINERS</t>
        </is>
      </c>
      <c r="D11" s="7" t="inlineStr">
        <is>
          <t>Sourcing + HR Module</t>
        </is>
      </c>
      <c r="E11" s="18" t="inlineStr">
        <is>
          <t>Medium</t>
        </is>
      </c>
      <c r="F11" s="6" t="n">
        <v>5</v>
      </c>
      <c r="G11" s="6" t="inlineStr">
        <is>
          <t>29-May-26</t>
        </is>
      </c>
      <c r="H11" s="10" t="inlineStr">
        <is>
          <t>40 LinkedIn interns, HR module, interview scheduling</t>
        </is>
      </c>
      <c r="I11" s="7" t="inlineStr">
        <is>
          <t>jagritisarda02@gmail.com</t>
        </is>
      </c>
      <c r="J11" s="7" t="inlineStr">
        <is>
          <t>In Progress</t>
        </is>
      </c>
      <c r="K11" s="11" t="n">
        <v>0.2</v>
      </c>
    </row>
    <row r="12" ht="26" customHeight="1">
      <c r="A12" s="12" t="n">
        <v>8</v>
      </c>
      <c r="B12" s="13" t="inlineStr">
        <is>
          <t>Rowena</t>
        </is>
      </c>
      <c r="C12" s="20" t="inlineStr">
        <is>
          <t>NEW JOINERS</t>
        </is>
      </c>
      <c r="D12" s="13" t="inlineStr">
        <is>
          <t>Distributor Research</t>
        </is>
      </c>
      <c r="E12" s="21" t="inlineStr">
        <is>
          <t>Medium</t>
        </is>
      </c>
      <c r="F12" s="12" t="n">
        <v>5</v>
      </c>
      <c r="G12" s="12" t="inlineStr">
        <is>
          <t>29-May-26</t>
        </is>
      </c>
      <c r="H12" s="16" t="inlineStr">
        <is>
          <t>Pooja distributors BLR/MYS/HYD/CHN/KCH listing</t>
        </is>
      </c>
      <c r="I12" s="13" t="inlineStr">
        <is>
          <t>rowenajoseph1102@gmail.com</t>
        </is>
      </c>
      <c r="J12" s="13" t="inlineStr">
        <is>
          <t>Not Started</t>
        </is>
      </c>
      <c r="K12" s="17" t="n">
        <v>0</v>
      </c>
    </row>
    <row r="13" ht="26" customHeight="1">
      <c r="A13" s="6" t="n">
        <v>9</v>
      </c>
      <c r="B13" s="7" t="inlineStr">
        <is>
          <t>Padma J Adappagoudar</t>
        </is>
      </c>
      <c r="C13" s="19" t="inlineStr">
        <is>
          <t>NEW JOINERS</t>
        </is>
      </c>
      <c r="D13" s="7" t="inlineStr">
        <is>
          <t>Candidate Sorting</t>
        </is>
      </c>
      <c r="E13" s="18" t="inlineStr">
        <is>
          <t>Medium</t>
        </is>
      </c>
      <c r="F13" s="6" t="n">
        <v>3</v>
      </c>
      <c r="G13" s="6" t="inlineStr">
        <is>
          <t>29-May-26</t>
        </is>
      </c>
      <c r="H13" s="10" t="inlineStr">
        <is>
          <t>Sort Tridha list, send to Shreesha, update Gowthami</t>
        </is>
      </c>
      <c r="I13" s="7" t="inlineStr">
        <is>
          <t>padmahkt@gmail.com</t>
        </is>
      </c>
      <c r="J13" s="7" t="inlineStr">
        <is>
          <t>Not Started</t>
        </is>
      </c>
      <c r="K13" s="11" t="n">
        <v>0</v>
      </c>
    </row>
    <row r="14" ht="26" customHeight="1">
      <c r="A14" s="12" t="n">
        <v>10</v>
      </c>
      <c r="B14" s="13" t="inlineStr">
        <is>
          <t>Chandan K</t>
        </is>
      </c>
      <c r="C14" s="22" t="inlineStr">
        <is>
          <t>BUSINESS OPERATIONS</t>
        </is>
      </c>
      <c r="D14" s="13" t="inlineStr">
        <is>
          <t>Internal + Specific</t>
        </is>
      </c>
      <c r="E14" s="15" t="inlineStr">
        <is>
          <t>High</t>
        </is>
      </c>
      <c r="F14" s="12" t="n">
        <v>5</v>
      </c>
      <c r="G14" s="12" t="inlineStr">
        <is>
          <t>29-May-26</t>
        </is>
      </c>
      <c r="H14" s="16" t="inlineStr">
        <is>
          <t>Drive + product collection, Mysore BDE affiliate orders</t>
        </is>
      </c>
      <c r="I14" s="13" t="inlineStr">
        <is>
          <t>chandan.k@aksharaenterprises.info</t>
        </is>
      </c>
      <c r="J14" s="13" t="inlineStr">
        <is>
          <t>In Progress</t>
        </is>
      </c>
      <c r="K14" s="17" t="n">
        <v>0.5</v>
      </c>
    </row>
    <row r="15" ht="26" customHeight="1">
      <c r="A15" s="6" t="n">
        <v>11</v>
      </c>
      <c r="B15" s="7" t="inlineStr">
        <is>
          <t>Purav C</t>
        </is>
      </c>
      <c r="C15" s="23" t="inlineStr">
        <is>
          <t>BUSINESS OPERATIONS</t>
        </is>
      </c>
      <c r="D15" s="7" t="inlineStr">
        <is>
          <t>Sourcing + Drives</t>
        </is>
      </c>
      <c r="E15" s="18" t="inlineStr">
        <is>
          <t>Medium</t>
        </is>
      </c>
      <c r="F15" s="6" t="n">
        <v>5</v>
      </c>
      <c r="G15" s="6" t="inlineStr">
        <is>
          <t>29-May-26</t>
        </is>
      </c>
      <c r="H15" s="10" t="inlineStr">
        <is>
          <t>Candidate sourcing via LinkedIn/Telegram, college details</t>
        </is>
      </c>
      <c r="I15" s="7" t="inlineStr">
        <is>
          <t>purav.c@bbah.christuniversity</t>
        </is>
      </c>
      <c r="J15" s="7" t="inlineStr">
        <is>
          <t>In Progress</t>
        </is>
      </c>
      <c r="K15" s="11" t="n">
        <v>0.2</v>
      </c>
    </row>
    <row r="16" ht="26" customHeight="1">
      <c r="A16" s="12" t="n">
        <v>12</v>
      </c>
      <c r="B16" s="13" t="inlineStr">
        <is>
          <t>Kshitij</t>
        </is>
      </c>
      <c r="C16" s="22" t="inlineStr">
        <is>
          <t>BUSINESS OPERATIONS</t>
        </is>
      </c>
      <c r="D16" s="13" t="inlineStr">
        <is>
          <t>Ace It Up</t>
        </is>
      </c>
      <c r="E16" s="15" t="inlineStr">
        <is>
          <t>High</t>
        </is>
      </c>
      <c r="F16" s="12" t="n">
        <v>8</v>
      </c>
      <c r="G16" s="12" t="inlineStr">
        <is>
          <t>29-May-26</t>
        </is>
      </c>
      <c r="H16" s="16" t="inlineStr">
        <is>
          <t>2-day training material, FAQs, sync with Yogesh &amp; Tharun</t>
        </is>
      </c>
      <c r="I16" s="13" t="inlineStr">
        <is>
          <t>kshitijkhatokar@gmail.com</t>
        </is>
      </c>
      <c r="J16" s="13" t="inlineStr">
        <is>
          <t>In Progress</t>
        </is>
      </c>
      <c r="K16" s="17" t="n">
        <v>0.4</v>
      </c>
    </row>
    <row r="17" ht="26" customHeight="1">
      <c r="A17" s="6" t="n">
        <v>13</v>
      </c>
      <c r="B17" s="7" t="inlineStr">
        <is>
          <t>Bopanna</t>
        </is>
      </c>
      <c r="C17" s="23" t="inlineStr">
        <is>
          <t>BUSINESS OPERATIONS</t>
        </is>
      </c>
      <c r="D17" s="7" t="inlineStr">
        <is>
          <t>Leave</t>
        </is>
      </c>
      <c r="E17" s="24" t="inlineStr">
        <is>
          <t>Low</t>
        </is>
      </c>
      <c r="F17" s="6" t="n">
        <v>0</v>
      </c>
      <c r="G17" s="6" t="inlineStr">
        <is>
          <t>29-May-26</t>
        </is>
      </c>
      <c r="H17" s="10" t="inlineStr">
        <is>
          <t>On leave today</t>
        </is>
      </c>
      <c r="I17" s="7" t="inlineStr">
        <is>
          <t>rashikbopanna07@gmail.com</t>
        </is>
      </c>
      <c r="J17" s="7" t="inlineStr">
        <is>
          <t>Leave</t>
        </is>
      </c>
      <c r="K17" s="11" t="n">
        <v>0</v>
      </c>
    </row>
    <row r="18" ht="26" customHeight="1">
      <c r="A18" s="12" t="n">
        <v>14</v>
      </c>
      <c r="B18" s="13" t="inlineStr">
        <is>
          <t>Pavan Rag B R</t>
        </is>
      </c>
      <c r="C18" s="22" t="inlineStr">
        <is>
          <t>BUSINESS OPERATIONS</t>
        </is>
      </c>
      <c r="D18" s="13" t="inlineStr">
        <is>
          <t>Leave</t>
        </is>
      </c>
      <c r="E18" s="25" t="inlineStr">
        <is>
          <t>Low</t>
        </is>
      </c>
      <c r="F18" s="12" t="n">
        <v>0</v>
      </c>
      <c r="G18" s="12" t="inlineStr">
        <is>
          <t>29-May-26</t>
        </is>
      </c>
      <c r="H18" s="16" t="inlineStr">
        <is>
          <t>On leave today</t>
        </is>
      </c>
      <c r="I18" s="13" t="inlineStr">
        <is>
          <t>pavanragbr.084bbak2123@gmail.com</t>
        </is>
      </c>
      <c r="J18" s="13" t="inlineStr">
        <is>
          <t>Leave</t>
        </is>
      </c>
      <c r="K18" s="17" t="n">
        <v>0</v>
      </c>
    </row>
    <row r="19" ht="26" customHeight="1">
      <c r="A19" s="6" t="n">
        <v>15</v>
      </c>
      <c r="B19" s="7" t="inlineStr">
        <is>
          <t>Hemanth Kumar GL</t>
        </is>
      </c>
      <c r="C19" s="26" t="inlineStr">
        <is>
          <t>PRODUCT</t>
        </is>
      </c>
      <c r="D19" s="7" t="inlineStr">
        <is>
          <t>Phone Accessories</t>
        </is>
      </c>
      <c r="E19" s="9" t="inlineStr">
        <is>
          <t>High</t>
        </is>
      </c>
      <c r="F19" s="6" t="n">
        <v>8</v>
      </c>
      <c r="G19" s="6" t="inlineStr">
        <is>
          <t>29-May-26</t>
        </is>
      </c>
      <c r="H19" s="10" t="inlineStr">
        <is>
          <t>15 vendor quotations each for 9H + Privacy glass, unit econ</t>
        </is>
      </c>
      <c r="I19" s="7" t="inlineStr">
        <is>
          <t>gl.hemanth@gmail.com</t>
        </is>
      </c>
      <c r="J19" s="7" t="inlineStr">
        <is>
          <t>In Progress</t>
        </is>
      </c>
      <c r="K19" s="11" t="n">
        <v>0.3</v>
      </c>
    </row>
    <row r="20" ht="26" customHeight="1">
      <c r="A20" s="12" t="n">
        <v>16</v>
      </c>
      <c r="B20" s="13" t="inlineStr">
        <is>
          <t>Kashinath</t>
        </is>
      </c>
      <c r="C20" s="27" t="inlineStr">
        <is>
          <t>PRODUCT</t>
        </is>
      </c>
      <c r="D20" s="13" t="inlineStr">
        <is>
          <t>Mobile Accessories</t>
        </is>
      </c>
      <c r="E20" s="15" t="inlineStr">
        <is>
          <t>High</t>
        </is>
      </c>
      <c r="F20" s="12" t="n">
        <v>8</v>
      </c>
      <c r="G20" s="12" t="inlineStr">
        <is>
          <t>29-May-26</t>
        </is>
      </c>
      <c r="H20" s="16" t="inlineStr">
        <is>
          <t>20 credit vendor calls, spray bottles, unit economics sheet</t>
        </is>
      </c>
      <c r="I20" s="13" t="inlineStr">
        <is>
          <t>mkasinath9@gmail.com</t>
        </is>
      </c>
      <c r="J20" s="13" t="inlineStr">
        <is>
          <t>Not Started</t>
        </is>
      </c>
      <c r="K20" s="17" t="n">
        <v>0</v>
      </c>
    </row>
    <row r="21" ht="26" customHeight="1">
      <c r="A21" s="6" t="n">
        <v>17</v>
      </c>
      <c r="B21" s="7" t="inlineStr">
        <is>
          <t>Keshav Navneet</t>
        </is>
      </c>
      <c r="C21" s="28" t="inlineStr">
        <is>
          <t>SPOS</t>
        </is>
      </c>
      <c r="D21" s="7" t="inlineStr">
        <is>
          <t>Talenty Calls</t>
        </is>
      </c>
      <c r="E21" s="9" t="inlineStr">
        <is>
          <t>High</t>
        </is>
      </c>
      <c r="F21" s="6" t="n">
        <v>5</v>
      </c>
      <c r="G21" s="6" t="inlineStr">
        <is>
          <t>29-May-26</t>
        </is>
      </c>
      <c r="H21" s="10" t="inlineStr">
        <is>
          <t>36 answered calls mandatory + Talenty mgmt &amp; auditing</t>
        </is>
      </c>
      <c r="I21" s="7" t="inlineStr">
        <is>
          <t>keshav.bhattad@aksharaenterprises.info</t>
        </is>
      </c>
      <c r="J21" s="7" t="inlineStr">
        <is>
          <t>In Progress</t>
        </is>
      </c>
      <c r="K21" s="11" t="n">
        <v>0.6</v>
      </c>
    </row>
    <row r="22" ht="26" customHeight="1">
      <c r="A22" s="12" t="n">
        <v>18</v>
      </c>
      <c r="B22" s="13" t="inlineStr">
        <is>
          <t>Haritha</t>
        </is>
      </c>
      <c r="C22" s="20" t="inlineStr">
        <is>
          <t>NEW JOINERS</t>
        </is>
      </c>
      <c r="D22" s="13" t="inlineStr">
        <is>
          <t>Talenty Calls</t>
        </is>
      </c>
      <c r="E22" s="21" t="inlineStr">
        <is>
          <t>Medium</t>
        </is>
      </c>
      <c r="F22" s="12" t="n">
        <v>3</v>
      </c>
      <c r="G22" s="12" t="inlineStr">
        <is>
          <t>29-May-26</t>
        </is>
      </c>
      <c r="H22" s="16" t="inlineStr">
        <is>
          <t>75 answered calls — Talenty</t>
        </is>
      </c>
      <c r="I22" s="13" t="inlineStr">
        <is>
          <t>m.haritha356@gmail.com</t>
        </is>
      </c>
      <c r="J22" s="13" t="inlineStr">
        <is>
          <t>In Progress</t>
        </is>
      </c>
      <c r="K22" s="17" t="n">
        <v>0.45</v>
      </c>
    </row>
    <row r="23" ht="26" customHeight="1">
      <c r="A23" s="6" t="n">
        <v>19</v>
      </c>
      <c r="B23" s="7" t="inlineStr">
        <is>
          <t>Jyothi</t>
        </is>
      </c>
      <c r="C23" s="19" t="inlineStr">
        <is>
          <t>NEW JOINERS</t>
        </is>
      </c>
      <c r="D23" s="7" t="inlineStr">
        <is>
          <t>Talenty Calls</t>
        </is>
      </c>
      <c r="E23" s="18" t="inlineStr">
        <is>
          <t>Medium</t>
        </is>
      </c>
      <c r="F23" s="6" t="n">
        <v>3</v>
      </c>
      <c r="G23" s="6" t="inlineStr">
        <is>
          <t>29-May-26</t>
        </is>
      </c>
      <c r="H23" s="10" t="inlineStr">
        <is>
          <t>45 answered calls — Talenty</t>
        </is>
      </c>
      <c r="I23" s="7" t="inlineStr">
        <is>
          <t>jyotichatterjee55@gmail.com</t>
        </is>
      </c>
      <c r="J23" s="7" t="inlineStr">
        <is>
          <t>Not Started</t>
        </is>
      </c>
      <c r="K23" s="11" t="n">
        <v>0</v>
      </c>
    </row>
    <row r="24" ht="26" customHeight="1">
      <c r="A24" s="12" t="n">
        <v>20</v>
      </c>
      <c r="B24" s="13" t="inlineStr">
        <is>
          <t>Roshan Paul</t>
        </is>
      </c>
      <c r="C24" s="29" t="inlineStr">
        <is>
          <t>SPOS</t>
        </is>
      </c>
      <c r="D24" s="13" t="inlineStr">
        <is>
          <t>Talenty Kochi</t>
        </is>
      </c>
      <c r="E24" s="21" t="inlineStr">
        <is>
          <t>Medium</t>
        </is>
      </c>
      <c r="F24" s="12" t="n">
        <v>3</v>
      </c>
      <c r="G24" s="12" t="inlineStr">
        <is>
          <t>29-May-26</t>
        </is>
      </c>
      <c r="H24" s="16" t="inlineStr">
        <is>
          <t>45 answered calls — Talenty (Kochi)</t>
        </is>
      </c>
      <c r="I24" s="13" t="inlineStr">
        <is>
          <t>roshanpaul@gmail.com</t>
        </is>
      </c>
      <c r="J24" s="13" t="inlineStr">
        <is>
          <t>Not Started</t>
        </is>
      </c>
      <c r="K24" s="17" t="n">
        <v>0</v>
      </c>
    </row>
    <row r="25" ht="26" customHeight="1">
      <c r="A25" s="6" t="n">
        <v>21</v>
      </c>
      <c r="B25" s="7" t="inlineStr">
        <is>
          <t>Tharun R Challam</t>
        </is>
      </c>
      <c r="C25" s="30" t="inlineStr">
        <is>
          <t>STUDENT RELATED BUS</t>
        </is>
      </c>
      <c r="D25" s="7" t="inlineStr">
        <is>
          <t>Finance + Training</t>
        </is>
      </c>
      <c r="E25" s="9" t="inlineStr">
        <is>
          <t>High</t>
        </is>
      </c>
      <c r="F25" s="6" t="n">
        <v>8</v>
      </c>
      <c r="G25" s="6" t="inlineStr">
        <is>
          <t>29-May-26</t>
        </is>
      </c>
      <c r="H25" s="10" t="inlineStr">
        <is>
          <t>ESOP research (LLP/Pvt/Propr), Ace It Up training content</t>
        </is>
      </c>
      <c r="I25" s="7" t="inlineStr">
        <is>
          <t>tharunrchalam@gmail.com</t>
        </is>
      </c>
      <c r="J25" s="7" t="inlineStr">
        <is>
          <t>In Progress</t>
        </is>
      </c>
      <c r="K25" s="11" t="n">
        <v>0.2</v>
      </c>
    </row>
    <row r="26" ht="26" customHeight="1">
      <c r="A26" s="12" t="n">
        <v>22</v>
      </c>
      <c r="B26" s="13" t="inlineStr">
        <is>
          <t>J Vaishnav Rahul</t>
        </is>
      </c>
      <c r="C26" s="31" t="inlineStr">
        <is>
          <t>STUDENT RELATED BUS</t>
        </is>
      </c>
      <c r="D26" s="13" t="inlineStr">
        <is>
          <t>Competitions</t>
        </is>
      </c>
      <c r="E26" s="15" t="inlineStr">
        <is>
          <t>High</t>
        </is>
      </c>
      <c r="F26" s="12" t="n">
        <v>8</v>
      </c>
      <c r="G26" s="12" t="inlineStr">
        <is>
          <t>29-May-26</t>
        </is>
      </c>
      <c r="H26" s="16" t="inlineStr">
        <is>
          <t>Competition structure, school pitching, power hour mock</t>
        </is>
      </c>
      <c r="I26" s="13" t="inlineStr">
        <is>
          <t>jvaishnav.rahul@aksharaenterprises.info</t>
        </is>
      </c>
      <c r="J26" s="13" t="inlineStr">
        <is>
          <t>In Progress</t>
        </is>
      </c>
      <c r="K26" s="17" t="n">
        <v>0.3</v>
      </c>
    </row>
    <row r="27" ht="26" customHeight="1">
      <c r="A27" s="6" t="n">
        <v>23</v>
      </c>
      <c r="B27" s="7" t="inlineStr">
        <is>
          <t>K Yogesh</t>
        </is>
      </c>
      <c r="C27" s="30" t="inlineStr">
        <is>
          <t>STUDENT RELATED BUS</t>
        </is>
      </c>
      <c r="D27" s="7" t="inlineStr">
        <is>
          <t>OCC</t>
        </is>
      </c>
      <c r="E27" s="18" t="inlineStr">
        <is>
          <t>Medium</t>
        </is>
      </c>
      <c r="F27" s="6" t="n">
        <v>5</v>
      </c>
      <c r="G27" s="6" t="inlineStr">
        <is>
          <t>29-May-26</t>
        </is>
      </c>
      <c r="H27" s="10" t="inlineStr">
        <is>
          <t>OCC interviews, Instagram reels, follow-ups &amp; conversions</t>
        </is>
      </c>
      <c r="I27" s="7" t="inlineStr">
        <is>
          <t>kyogeshyogesh42@gmail.com</t>
        </is>
      </c>
      <c r="J27" s="7" t="inlineStr">
        <is>
          <t>In Progress</t>
        </is>
      </c>
      <c r="K27" s="11" t="n">
        <v>0.5</v>
      </c>
    </row>
    <row r="28" ht="26" customHeight="1">
      <c r="A28" s="12" t="n">
        <v>24</v>
      </c>
      <c r="B28" s="13" t="inlineStr">
        <is>
          <t>Sathvik</t>
        </is>
      </c>
      <c r="C28" s="31" t="inlineStr">
        <is>
          <t>STUDENT RELATED BUS</t>
        </is>
      </c>
      <c r="D28" s="13" t="inlineStr">
        <is>
          <t>Internal Survey</t>
        </is>
      </c>
      <c r="E28" s="21" t="inlineStr">
        <is>
          <t>Medium</t>
        </is>
      </c>
      <c r="F28" s="12" t="n">
        <v>3</v>
      </c>
      <c r="G28" s="12" t="inlineStr">
        <is>
          <t>29-May-26</t>
        </is>
      </c>
      <c r="H28" s="16" t="inlineStr">
        <is>
          <t>Shuddodaka label, pitch mock, 8 pooja shop orders</t>
        </is>
      </c>
      <c r="I28" s="13" t="inlineStr">
        <is>
          <t>sathvikk371@gmail.com</t>
        </is>
      </c>
      <c r="J28" s="13" t="inlineStr">
        <is>
          <t>Not Started</t>
        </is>
      </c>
      <c r="K28" s="17" t="n">
        <v>0</v>
      </c>
    </row>
    <row r="29" ht="26" customHeight="1">
      <c r="A29" s="6" t="n">
        <v>25</v>
      </c>
      <c r="B29" s="7" t="inlineStr">
        <is>
          <t>Ujwal</t>
        </is>
      </c>
      <c r="C29" s="8" t="inlineStr">
        <is>
          <t>HR</t>
        </is>
      </c>
      <c r="D29" s="7" t="inlineStr">
        <is>
          <t>Interviews</t>
        </is>
      </c>
      <c r="E29" s="18" t="inlineStr">
        <is>
          <t>Medium</t>
        </is>
      </c>
      <c r="F29" s="6" t="n">
        <v>3</v>
      </c>
      <c r="G29" s="6" t="inlineStr">
        <is>
          <t>29-May-26</t>
        </is>
      </c>
      <c r="H29" s="10" t="inlineStr">
        <is>
          <t>Interviews + work delegated by Subramanya</t>
        </is>
      </c>
      <c r="I29" s="7" t="inlineStr">
        <is>
          <t>ujwal@gmail.com</t>
        </is>
      </c>
      <c r="J29" s="7" t="inlineStr">
        <is>
          <t>In Progress</t>
        </is>
      </c>
      <c r="K29" s="11" t="n">
        <v>0.4</v>
      </c>
    </row>
    <row r="30" ht="26" customHeight="1">
      <c r="A30" s="12" t="n">
        <v>26</v>
      </c>
      <c r="B30" s="13" t="inlineStr">
        <is>
          <t>Tridha</t>
        </is>
      </c>
      <c r="C30" s="14" t="inlineStr">
        <is>
          <t>HR</t>
        </is>
      </c>
      <c r="D30" s="13" t="inlineStr">
        <is>
          <t>Defaulter Reports</t>
        </is>
      </c>
      <c r="E30" s="15" t="inlineStr">
        <is>
          <t>High</t>
        </is>
      </c>
      <c r="F30" s="12" t="n">
        <v>5</v>
      </c>
      <c r="G30" s="12" t="inlineStr">
        <is>
          <t>29-May-26</t>
        </is>
      </c>
      <c r="H30" s="16" t="inlineStr">
        <is>
          <t>Daily defaulter list, day-wise report analysis, OCC tasks</t>
        </is>
      </c>
      <c r="I30" s="13" t="inlineStr">
        <is>
          <t>tridha@gmail.com</t>
        </is>
      </c>
      <c r="J30" s="13" t="inlineStr">
        <is>
          <t>In Progress</t>
        </is>
      </c>
      <c r="K30" s="17" t="n">
        <v>0.5</v>
      </c>
    </row>
    <row r="31" ht="26" customHeight="1">
      <c r="A31" s="6" t="n">
        <v>27</v>
      </c>
      <c r="B31" s="7" t="inlineStr">
        <is>
          <t>BK Pramukh</t>
        </is>
      </c>
      <c r="C31" s="32" t="inlineStr">
        <is>
          <t>SOLID</t>
        </is>
      </c>
      <c r="D31" s="7" t="inlineStr">
        <is>
          <t>Internal</t>
        </is>
      </c>
      <c r="E31" s="24" t="inlineStr">
        <is>
          <t>Low</t>
        </is>
      </c>
      <c r="F31" s="6" t="n">
        <v>1</v>
      </c>
      <c r="G31" s="6" t="inlineStr">
        <is>
          <t>29-May-26</t>
        </is>
      </c>
      <c r="H31" s="10" t="inlineStr">
        <is>
          <t>Call Gowthami/Shreesha</t>
        </is>
      </c>
      <c r="I31" s="7" t="inlineStr">
        <is>
          <t>bkpramukh11@gmail.com</t>
        </is>
      </c>
      <c r="J31" s="7" t="inlineStr">
        <is>
          <t>Not Started</t>
        </is>
      </c>
      <c r="K31" s="11" t="n">
        <v>0</v>
      </c>
    </row>
    <row r="32" ht="26" customHeight="1">
      <c r="A32" s="12" t="n">
        <v>28</v>
      </c>
      <c r="B32" s="13" t="inlineStr">
        <is>
          <t>Shubhanga V</t>
        </is>
      </c>
      <c r="C32" s="33" t="inlineStr">
        <is>
          <t>SOLID</t>
        </is>
      </c>
      <c r="D32" s="13" t="inlineStr">
        <is>
          <t>Talenty Calls</t>
        </is>
      </c>
      <c r="E32" s="21" t="inlineStr">
        <is>
          <t>Medium</t>
        </is>
      </c>
      <c r="F32" s="12" t="n">
        <v>3</v>
      </c>
      <c r="G32" s="12" t="inlineStr">
        <is>
          <t>29-May-26</t>
        </is>
      </c>
      <c r="H32" s="16" t="inlineStr">
        <is>
          <t>45 calls target — Talenty</t>
        </is>
      </c>
      <c r="I32" s="13" t="inlineStr">
        <is>
          <t>Shubhanga03@gmail.com</t>
        </is>
      </c>
      <c r="J32" s="13" t="inlineStr">
        <is>
          <t>Not Started</t>
        </is>
      </c>
      <c r="K32" s="17" t="n">
        <v>0</v>
      </c>
    </row>
    <row r="33" ht="26" customHeight="1">
      <c r="A33" s="6" t="n">
        <v>29</v>
      </c>
      <c r="B33" s="7" t="inlineStr">
        <is>
          <t>Vasanth</t>
        </is>
      </c>
      <c r="C33" s="32" t="inlineStr">
        <is>
          <t>SOLID</t>
        </is>
      </c>
      <c r="D33" s="7" t="inlineStr">
        <is>
          <t>ShopSmart</t>
        </is>
      </c>
      <c r="E33" s="18" t="inlineStr">
        <is>
          <t>Medium</t>
        </is>
      </c>
      <c r="F33" s="6" t="n">
        <v>5</v>
      </c>
      <c r="G33" s="6" t="inlineStr">
        <is>
          <t>29-May-26</t>
        </is>
      </c>
      <c r="H33" s="10" t="inlineStr">
        <is>
          <t>Office + Gowthami sync for ShopSmart — 15 conversions</t>
        </is>
      </c>
      <c r="I33" s="7" t="inlineStr">
        <is>
          <t>vasanth@gmail.com</t>
        </is>
      </c>
      <c r="J33" s="7" t="inlineStr">
        <is>
          <t>Not Started</t>
        </is>
      </c>
      <c r="K33" s="11" t="n">
        <v>0</v>
      </c>
    </row>
    <row r="34" ht="26" customHeight="1">
      <c r="A34" s="12" t="n">
        <v>30</v>
      </c>
      <c r="B34" s="13" t="inlineStr">
        <is>
          <t>Abhinitha HR</t>
        </is>
      </c>
      <c r="C34" s="14" t="inlineStr">
        <is>
          <t>HR</t>
        </is>
      </c>
      <c r="D34" s="13" t="inlineStr">
        <is>
          <t>Leave</t>
        </is>
      </c>
      <c r="E34" s="25" t="inlineStr">
        <is>
          <t>Low</t>
        </is>
      </c>
      <c r="F34" s="12" t="n">
        <v>0</v>
      </c>
      <c r="G34" s="12" t="inlineStr">
        <is>
          <t>29-May-26</t>
        </is>
      </c>
      <c r="H34" s="16" t="inlineStr">
        <is>
          <t>On leave today</t>
        </is>
      </c>
      <c r="I34" s="13" t="inlineStr">
        <is>
          <t>abhinithahr@gmail.com</t>
        </is>
      </c>
      <c r="J34" s="13" t="inlineStr">
        <is>
          <t>Leave</t>
        </is>
      </c>
      <c r="K34" s="17" t="n">
        <v>0</v>
      </c>
    </row>
  </sheetData>
  <autoFilter ref="A4:K4"/>
  <mergeCells count="2">
    <mergeCell ref="A2:K2"/>
    <mergeCell ref="A1:K1"/>
  </mergeCells>
  <conditionalFormatting sqref="E5:E30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J5:J300">
    <cfRule type="cellIs" priority="4" operator="equal" dxfId="2">
      <formula>"Completed"</formula>
    </cfRule>
    <cfRule type="cellIs" priority="5" operator="equal" dxfId="0">
      <formula>"Blocked"</formula>
    </cfRule>
    <cfRule type="cellIs" priority="6" operator="equal" dxfId="3">
      <formula>"Leave"</formula>
    </cfRule>
  </conditionalFormatting>
  <dataValidations count="2">
    <dataValidation sqref="J5:J300" showDropDown="0" showInputMessage="0" showErrorMessage="0" allowBlank="0" type="list">
      <formula1>"Not Started,In Progress,Completed,Blocked,Leave"</formula1>
    </dataValidation>
    <dataValidation sqref="E5:E3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34" t="inlineStr">
        <is>
          <t>SPRINT DASHBOARD  —  AKSHARA ENTERPRISES</t>
        </is>
      </c>
    </row>
    <row r="2" ht="16" customHeight="1">
      <c r="A2" s="2" t="inlineStr">
        <is>
          <t>All formulas auto-update when Task Allocation sheet is edited</t>
        </is>
      </c>
    </row>
    <row r="3" ht="24" customHeight="1"/>
    <row r="4" ht="30" customHeight="1">
      <c r="A4" s="35" t="inlineStr">
        <is>
          <t>Total Tasks</t>
        </is>
      </c>
      <c r="D4" s="36" t="inlineStr">
        <is>
          <t>High Priority</t>
        </is>
      </c>
      <c r="G4" s="37" t="inlineStr">
        <is>
          <t>In Progress</t>
        </is>
      </c>
    </row>
    <row r="5" ht="30" customHeight="1">
      <c r="A5" s="38">
        <f>COUNTA('Task Allocation'!B5:B34)</f>
        <v/>
      </c>
      <c r="D5" s="39">
        <f>COUNTIF('Task Allocation'!E5:E34,"High")</f>
        <v/>
      </c>
      <c r="G5" s="40">
        <f>COUNTIF('Task Allocation'!J5:J34,"In Progress")</f>
        <v/>
      </c>
    </row>
    <row r="6" ht="24" customHeight="1"/>
    <row r="7" ht="30" customHeight="1">
      <c r="A7" s="41" t="inlineStr">
        <is>
          <t>Completed</t>
        </is>
      </c>
      <c r="D7" s="42" t="inlineStr">
        <is>
          <t>On Leave</t>
        </is>
      </c>
      <c r="G7" s="43" t="inlineStr">
        <is>
          <t>Unique Teams</t>
        </is>
      </c>
    </row>
    <row r="8" ht="30" customHeight="1">
      <c r="A8" s="44">
        <f>COUNTIF('Task Allocation'!J5:J34,"Completed")</f>
        <v/>
      </c>
      <c r="D8" s="45">
        <f>COUNTIF('Task Allocation'!J5:J34,"Leave")</f>
        <v/>
      </c>
      <c r="G8" s="46">
        <f>SUMPRODUCT(1/COUNTIF('Task Allocation'!C5:C34,'Task Allocation'!C5:C34))</f>
        <v/>
      </c>
    </row>
    <row r="9" ht="24" customHeight="1"/>
    <row r="10" ht="6" customHeight="1"/>
    <row r="11" ht="22" customHeight="1">
      <c r="A11" s="47" t="inlineStr">
        <is>
          <t>Team Breakdown</t>
        </is>
      </c>
    </row>
    <row r="12" ht="20" customHeight="1">
      <c r="A12" s="5" t="inlineStr">
        <is>
          <t>Team</t>
        </is>
      </c>
      <c r="B12" s="5" t="inlineStr">
        <is>
          <t>Tasks</t>
        </is>
      </c>
      <c r="C12" s="5" t="inlineStr">
        <is>
          <t>High</t>
        </is>
      </c>
      <c r="D12" s="5" t="inlineStr">
        <is>
          <t>In Progress</t>
        </is>
      </c>
      <c r="E12" s="5" t="inlineStr">
        <is>
          <t>Completed</t>
        </is>
      </c>
      <c r="F12" s="5" t="inlineStr">
        <is>
          <t>On Leave</t>
        </is>
      </c>
    </row>
    <row r="13" ht="22" customHeight="1">
      <c r="A13" s="8" t="inlineStr">
        <is>
          <t>HR</t>
        </is>
      </c>
      <c r="B13" s="48">
        <f>COUNTIF('Task Allocation'!C5:C34,A13)</f>
        <v/>
      </c>
      <c r="C13" s="48">
        <f>COUNTIFS('Task Allocation'!C5:C34,A13,'Task Allocation'!E5:E34,"High")</f>
        <v/>
      </c>
      <c r="D13" s="48">
        <f>COUNTIFS('Task Allocation'!C5:C34,A13,'Task Allocation'!J5:J34,"In Progress")</f>
        <v/>
      </c>
      <c r="E13" s="48">
        <f>COUNTIFS('Task Allocation'!C5:C34,A13,'Task Allocation'!J5:J34,"Completed")</f>
        <v/>
      </c>
      <c r="F13" s="48">
        <f>COUNTIFS('Task Allocation'!C5:C34,A13,'Task Allocation'!J5:J34,"Leave")</f>
        <v/>
      </c>
    </row>
    <row r="14" ht="22" customHeight="1">
      <c r="A14" s="20" t="inlineStr">
        <is>
          <t>NEW JOINERS</t>
        </is>
      </c>
      <c r="B14" s="49">
        <f>COUNTIF('Task Allocation'!C5:C34,A14)</f>
        <v/>
      </c>
      <c r="C14" s="49">
        <f>COUNTIFS('Task Allocation'!C5:C34,A14,'Task Allocation'!E5:E34,"High")</f>
        <v/>
      </c>
      <c r="D14" s="49">
        <f>COUNTIFS('Task Allocation'!C5:C34,A14,'Task Allocation'!J5:J34,"In Progress")</f>
        <v/>
      </c>
      <c r="E14" s="49">
        <f>COUNTIFS('Task Allocation'!C5:C34,A14,'Task Allocation'!J5:J34,"Completed")</f>
        <v/>
      </c>
      <c r="F14" s="49">
        <f>COUNTIFS('Task Allocation'!C5:C34,A14,'Task Allocation'!J5:J34,"Leave")</f>
        <v/>
      </c>
    </row>
    <row r="15" ht="22" customHeight="1">
      <c r="A15" s="23" t="inlineStr">
        <is>
          <t>BUSINESS OPERATIONS</t>
        </is>
      </c>
      <c r="B15" s="48">
        <f>COUNTIF('Task Allocation'!C5:C34,A15)</f>
        <v/>
      </c>
      <c r="C15" s="48">
        <f>COUNTIFS('Task Allocation'!C5:C34,A15,'Task Allocation'!E5:E34,"High")</f>
        <v/>
      </c>
      <c r="D15" s="48">
        <f>COUNTIFS('Task Allocation'!C5:C34,A15,'Task Allocation'!J5:J34,"In Progress")</f>
        <v/>
      </c>
      <c r="E15" s="48">
        <f>COUNTIFS('Task Allocation'!C5:C34,A15,'Task Allocation'!J5:J34,"Completed")</f>
        <v/>
      </c>
      <c r="F15" s="48">
        <f>COUNTIFS('Task Allocation'!C5:C34,A15,'Task Allocation'!J5:J34,"Leave")</f>
        <v/>
      </c>
    </row>
    <row r="16" ht="22" customHeight="1">
      <c r="A16" s="27" t="inlineStr">
        <is>
          <t>PRODUCT</t>
        </is>
      </c>
      <c r="B16" s="49">
        <f>COUNTIF('Task Allocation'!C5:C34,A16)</f>
        <v/>
      </c>
      <c r="C16" s="49">
        <f>COUNTIFS('Task Allocation'!C5:C34,A16,'Task Allocation'!E5:E34,"High")</f>
        <v/>
      </c>
      <c r="D16" s="49">
        <f>COUNTIFS('Task Allocation'!C5:C34,A16,'Task Allocation'!J5:J34,"In Progress")</f>
        <v/>
      </c>
      <c r="E16" s="49">
        <f>COUNTIFS('Task Allocation'!C5:C34,A16,'Task Allocation'!J5:J34,"Completed")</f>
        <v/>
      </c>
      <c r="F16" s="49">
        <f>COUNTIFS('Task Allocation'!C5:C34,A16,'Task Allocation'!J5:J34,"Leave")</f>
        <v/>
      </c>
    </row>
    <row r="17" ht="22" customHeight="1">
      <c r="A17" s="28" t="inlineStr">
        <is>
          <t>SPOS</t>
        </is>
      </c>
      <c r="B17" s="48">
        <f>COUNTIF('Task Allocation'!C5:C34,A17)</f>
        <v/>
      </c>
      <c r="C17" s="48">
        <f>COUNTIFS('Task Allocation'!C5:C34,A17,'Task Allocation'!E5:E34,"High")</f>
        <v/>
      </c>
      <c r="D17" s="48">
        <f>COUNTIFS('Task Allocation'!C5:C34,A17,'Task Allocation'!J5:J34,"In Progress")</f>
        <v/>
      </c>
      <c r="E17" s="48">
        <f>COUNTIFS('Task Allocation'!C5:C34,A17,'Task Allocation'!J5:J34,"Completed")</f>
        <v/>
      </c>
      <c r="F17" s="48">
        <f>COUNTIFS('Task Allocation'!C5:C34,A17,'Task Allocation'!J5:J34,"Leave")</f>
        <v/>
      </c>
    </row>
    <row r="18" ht="22" customHeight="1">
      <c r="A18" s="33" t="inlineStr">
        <is>
          <t>SOLID</t>
        </is>
      </c>
      <c r="B18" s="49">
        <f>COUNTIF('Task Allocation'!C5:C34,A18)</f>
        <v/>
      </c>
      <c r="C18" s="49">
        <f>COUNTIFS('Task Allocation'!C5:C34,A18,'Task Allocation'!E5:E34,"High")</f>
        <v/>
      </c>
      <c r="D18" s="49">
        <f>COUNTIFS('Task Allocation'!C5:C34,A18,'Task Allocation'!J5:J34,"In Progress")</f>
        <v/>
      </c>
      <c r="E18" s="49">
        <f>COUNTIFS('Task Allocation'!C5:C34,A18,'Task Allocation'!J5:J34,"Completed")</f>
        <v/>
      </c>
      <c r="F18" s="49">
        <f>COUNTIFS('Task Allocation'!C5:C34,A18,'Task Allocation'!J5:J34,"Leave")</f>
        <v/>
      </c>
    </row>
    <row r="19" ht="22" customHeight="1">
      <c r="A19" s="30" t="inlineStr">
        <is>
          <t>STUDENT RELATED BUS</t>
        </is>
      </c>
      <c r="B19" s="48">
        <f>COUNTIF('Task Allocation'!C5:C34,A19)</f>
        <v/>
      </c>
      <c r="C19" s="48">
        <f>COUNTIFS('Task Allocation'!C5:C34,A19,'Task Allocation'!E5:E34,"High")</f>
        <v/>
      </c>
      <c r="D19" s="48">
        <f>COUNTIFS('Task Allocation'!C5:C34,A19,'Task Allocation'!J5:J34,"In Progress")</f>
        <v/>
      </c>
      <c r="E19" s="48">
        <f>COUNTIFS('Task Allocation'!C5:C34,A19,'Task Allocation'!J5:J34,"Completed")</f>
        <v/>
      </c>
      <c r="F19" s="48">
        <f>COUNTIFS('Task Allocation'!C5:C34,A19,'Task Allocation'!J5:J34,"Leave")</f>
        <v/>
      </c>
    </row>
    <row r="20" ht="22" customHeight="1">
      <c r="A20" s="50" t="inlineStr">
        <is>
          <t>SPECIFIC</t>
        </is>
      </c>
      <c r="B20" s="49">
        <f>COUNTIF('Task Allocation'!C5:C34,A20)</f>
        <v/>
      </c>
      <c r="C20" s="49">
        <f>COUNTIFS('Task Allocation'!C5:C34,A20,'Task Allocation'!E5:E34,"High")</f>
        <v/>
      </c>
      <c r="D20" s="49">
        <f>COUNTIFS('Task Allocation'!C5:C34,A20,'Task Allocation'!J5:J34,"In Progress")</f>
        <v/>
      </c>
      <c r="E20" s="49">
        <f>COUNTIFS('Task Allocation'!C5:C34,A20,'Task Allocation'!J5:J34,"Completed")</f>
        <v/>
      </c>
      <c r="F20" s="49">
        <f>COUNTIFS('Task Allocation'!C5:C34,A20,'Task Allocation'!J5:J34,"Leave")</f>
        <v/>
      </c>
    </row>
  </sheetData>
  <mergeCells count="14">
    <mergeCell ref="A1:J1"/>
    <mergeCell ref="D5:F5"/>
    <mergeCell ref="A5:C5"/>
    <mergeCell ref="G5:I5"/>
    <mergeCell ref="D8:F8"/>
    <mergeCell ref="A8:C8"/>
    <mergeCell ref="D4:F4"/>
    <mergeCell ref="G8:I8"/>
    <mergeCell ref="G4:I4"/>
    <mergeCell ref="A7:C7"/>
    <mergeCell ref="A2:J2"/>
    <mergeCell ref="D7:F7"/>
    <mergeCell ref="A4:C4"/>
    <mergeCell ref="G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3" customWidth="1" min="3" max="3"/>
    <col width="32" customWidth="1" min="4" max="4"/>
    <col width="22" customWidth="1" min="5" max="5"/>
    <col width="30" customWidth="1" min="6" max="6"/>
  </cols>
  <sheetData>
    <row r="1" ht="28" customHeight="1">
      <c r="A1" s="51" t="inlineStr">
        <is>
          <t>PDF to EXCEL FIELD GUIDE  |  EarlyBird India Conversion System</t>
        </is>
      </c>
    </row>
    <row r="3" ht="22" customHeight="1">
      <c r="A3" s="52" t="inlineStr">
        <is>
          <t>PDF COLUMN</t>
        </is>
      </c>
      <c r="B3" s="52" t="inlineStr">
        <is>
          <t>EXCEL COLUMN</t>
        </is>
      </c>
      <c r="C3" s="52" t="inlineStr">
        <is>
          <t>DATA TYPE</t>
        </is>
      </c>
      <c r="D3" s="52" t="inlineStr">
        <is>
          <t>VALIDATION RULE</t>
        </is>
      </c>
      <c r="E3" s="52" t="inlineStr">
        <is>
          <t>EXAMPLE VALUE</t>
        </is>
      </c>
      <c r="F3" s="52" t="inlineStr">
        <is>
          <t>NOTES</t>
        </is>
      </c>
    </row>
    <row r="4" ht="20" customHeight="1">
      <c r="A4" s="53" t="inlineStr">
        <is>
          <t>Person name heading</t>
        </is>
      </c>
      <c r="B4" s="53" t="inlineStr">
        <is>
          <t>B — Name</t>
        </is>
      </c>
      <c r="C4" s="53" t="inlineStr">
        <is>
          <t>Text</t>
        </is>
      </c>
      <c r="D4" s="53" t="inlineStr">
        <is>
          <t>Required, non-empty</t>
        </is>
      </c>
      <c r="E4" s="53" t="inlineStr">
        <is>
          <t>Madhumati Angadi</t>
        </is>
      </c>
      <c r="F4" s="53" t="inlineStr">
        <is>
          <t>Full name extracted from PDF</t>
        </is>
      </c>
    </row>
    <row r="5" ht="20" customHeight="1">
      <c r="A5" s="10" t="inlineStr">
        <is>
          <t>Team / Department label</t>
        </is>
      </c>
      <c r="B5" s="10" t="inlineStr">
        <is>
          <t>C — Team</t>
        </is>
      </c>
      <c r="C5" s="10" t="inlineStr">
        <is>
          <t>Text</t>
        </is>
      </c>
      <c r="D5" s="10" t="inlineStr">
        <is>
          <t>Must match team list</t>
        </is>
      </c>
      <c r="E5" s="10" t="inlineStr">
        <is>
          <t>HR</t>
        </is>
      </c>
      <c r="F5" s="10" t="inlineStr">
        <is>
          <t>Standardised team name</t>
        </is>
      </c>
    </row>
    <row r="6" ht="20" customHeight="1">
      <c r="A6" s="53" t="inlineStr">
        <is>
          <t>Task bold heading</t>
        </is>
      </c>
      <c r="B6" s="53" t="inlineStr">
        <is>
          <t>D — Task Title</t>
        </is>
      </c>
      <c r="C6" s="53" t="inlineStr">
        <is>
          <t>Text</t>
        </is>
      </c>
      <c r="D6" s="53" t="inlineStr">
        <is>
          <t>Max 60 chars</t>
        </is>
      </c>
      <c r="E6" s="53" t="inlineStr">
        <is>
          <t>Interview Scheduling</t>
        </is>
      </c>
      <c r="F6" s="53" t="inlineStr">
        <is>
          <t>Short task summary</t>
        </is>
      </c>
    </row>
    <row r="7" ht="20" customHeight="1">
      <c r="A7" s="10" t="inlineStr">
        <is>
          <t>Priority badge / keyword</t>
        </is>
      </c>
      <c r="B7" s="10" t="inlineStr">
        <is>
          <t>E — Priority</t>
        </is>
      </c>
      <c r="C7" s="10" t="inlineStr">
        <is>
          <t>Dropdown</t>
        </is>
      </c>
      <c r="D7" s="10" t="inlineStr">
        <is>
          <t>High / Medium / Low</t>
        </is>
      </c>
      <c r="E7" s="10" t="inlineStr">
        <is>
          <t>High</t>
        </is>
      </c>
      <c r="F7" s="10" t="inlineStr">
        <is>
          <t>Parse from colour or keyword</t>
        </is>
      </c>
    </row>
    <row r="8" ht="20" customHeight="1">
      <c r="A8" s="53" t="inlineStr">
        <is>
          <t>Story Points (if present)</t>
        </is>
      </c>
      <c r="B8" s="53" t="inlineStr">
        <is>
          <t>F — Story Points</t>
        </is>
      </c>
      <c r="C8" s="53" t="inlineStr">
        <is>
          <t>Number</t>
        </is>
      </c>
      <c r="D8" s="53" t="inlineStr">
        <is>
          <t>0-13 integer</t>
        </is>
      </c>
      <c r="E8" s="53" t="inlineStr">
        <is>
          <t>5</t>
        </is>
      </c>
      <c r="F8" s="53" t="inlineStr">
        <is>
          <t>Default 3 if absent</t>
        </is>
      </c>
    </row>
    <row r="9" ht="20" customHeight="1">
      <c r="A9" s="10" t="inlineStr">
        <is>
          <t>Date in PDF header</t>
        </is>
      </c>
      <c r="B9" s="10" t="inlineStr">
        <is>
          <t>G — Due Date</t>
        </is>
      </c>
      <c r="C9" s="10" t="inlineStr">
        <is>
          <t>Date</t>
        </is>
      </c>
      <c r="D9" s="10" t="inlineStr">
        <is>
          <t>DD-MMM-YY</t>
        </is>
      </c>
      <c r="E9" s="10" t="inlineStr">
        <is>
          <t>29-May-26</t>
        </is>
      </c>
      <c r="F9" s="10" t="inlineStr">
        <is>
          <t>Parse from sprint heading</t>
        </is>
      </c>
    </row>
    <row r="10" ht="20" customHeight="1">
      <c r="A10" s="53" t="inlineStr">
        <is>
          <t>Bullet points / body</t>
        </is>
      </c>
      <c r="B10" s="53" t="inlineStr">
        <is>
          <t>H — Description</t>
        </is>
      </c>
      <c r="C10" s="53" t="inlineStr">
        <is>
          <t>Long Text</t>
        </is>
      </c>
      <c r="D10" s="53" t="inlineStr">
        <is>
          <t>Max 500 chars</t>
        </is>
      </c>
      <c r="E10" s="53" t="inlineStr">
        <is>
          <t>Schedule interviews…</t>
        </is>
      </c>
      <c r="F10" s="53" t="inlineStr">
        <is>
          <t>Concat bullets, clean whitespace</t>
        </is>
      </c>
    </row>
    <row r="11" ht="20" customHeight="1">
      <c r="A11" s="10" t="inlineStr">
        <is>
          <t>Email (if shown)</t>
        </is>
      </c>
      <c r="B11" s="10" t="inlineStr">
        <is>
          <t>I — Email</t>
        </is>
      </c>
      <c r="C11" s="10" t="inlineStr">
        <is>
          <t>Email</t>
        </is>
      </c>
      <c r="D11" s="10" t="inlineStr">
        <is>
          <t>Must contain @</t>
        </is>
      </c>
      <c r="E11" s="10" t="inlineStr">
        <is>
          <t>m@gmail.com</t>
        </is>
      </c>
      <c r="F11" s="10" t="inlineStr">
        <is>
          <t>Leave blank if not in PDF</t>
        </is>
      </c>
    </row>
    <row r="12" ht="20" customHeight="1">
      <c r="A12" s="53" t="inlineStr">
        <is>
          <t>AI-inferred or manual</t>
        </is>
      </c>
      <c r="B12" s="53" t="inlineStr">
        <is>
          <t>J — Status</t>
        </is>
      </c>
      <c r="C12" s="53" t="inlineStr">
        <is>
          <t>Dropdown</t>
        </is>
      </c>
      <c r="D12" s="53" t="inlineStr">
        <is>
          <t>Not Started / In Progress / Completed / Blocked / Leave</t>
        </is>
      </c>
      <c r="E12" s="53" t="inlineStr">
        <is>
          <t>In Progress</t>
        </is>
      </c>
      <c r="F12" s="53" t="inlineStr">
        <is>
          <t>Infer from wording: 'leave'→Leave</t>
        </is>
      </c>
    </row>
    <row r="13" ht="20" customHeight="1">
      <c r="A13" s="10" t="inlineStr">
        <is>
          <t>Manual input</t>
        </is>
      </c>
      <c r="B13" s="10" t="inlineStr">
        <is>
          <t>K — Done %</t>
        </is>
      </c>
      <c r="C13" s="10" t="inlineStr">
        <is>
          <t>Percentage</t>
        </is>
      </c>
      <c r="D13" s="10" t="inlineStr">
        <is>
          <t>0-100</t>
        </is>
      </c>
      <c r="E13" s="10" t="inlineStr">
        <is>
          <t>60%</t>
        </is>
      </c>
      <c r="F13" s="10" t="inlineStr">
        <is>
          <t>Default 0; update manually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2026-06-03T05:27:37Z</dcterms:created>
  <dcterms:modified xmlns:dcterms="http://purl.org/dc/terms/" xmlns:xsi="http://www.w3.org/2001/XMLSchema-instance" xsi:type="dcterms:W3CDTF">2026-06-03T05:27:37Z</dcterms:modified>
</cp:coreProperties>
</file>